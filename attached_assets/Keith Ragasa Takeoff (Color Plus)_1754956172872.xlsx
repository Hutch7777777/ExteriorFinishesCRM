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xtfinishesllc.sharepoint.com/sites/ExteriorFinishesRR/Shared Documents/RR Files/Single Family RR Work/Contract Sent/Keith Ragasa Residence - (Signed) In Progress/Takeoff's/"/>
    </mc:Choice>
  </mc:AlternateContent>
  <xr:revisionPtr revIDLastSave="198" documentId="8_{7275CE7F-E794-4837-AB3B-CD0BFCE17378}" xr6:coauthVersionLast="47" xr6:coauthVersionMax="47" xr10:uidLastSave="{F89643DC-DB8C-4CC8-B41C-0A743D82CB6D}"/>
  <bookViews>
    <workbookView xWindow="28680" yWindow="-120" windowWidth="29040" windowHeight="15720" xr2:uid="{00000000-000D-0000-FFFF-FFFF00000000}"/>
  </bookViews>
  <sheets>
    <sheet name="Siding " sheetId="1" r:id="rId1"/>
  </sheets>
  <definedNames>
    <definedName name="_xlnm.Print_Area" localSheetId="0">'Siding '!$A$1:$J$58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H46" i="1"/>
  <c r="F35" i="1"/>
  <c r="F83" i="1"/>
  <c r="F65" i="1"/>
  <c r="F52" i="1"/>
  <c r="F44" i="1"/>
  <c r="F33" i="1"/>
  <c r="F16" i="1"/>
  <c r="F78" i="1" l="1"/>
  <c r="F79" i="1" s="1"/>
  <c r="F72" i="1"/>
  <c r="F71" i="1"/>
  <c r="F73" i="1" s="1"/>
  <c r="F64" i="1"/>
  <c r="F63" i="1"/>
  <c r="C44" i="1"/>
  <c r="F31" i="1"/>
  <c r="F80" i="1" l="1"/>
  <c r="G78" i="1"/>
  <c r="H78" i="1" s="1"/>
  <c r="F74" i="1"/>
  <c r="F75" i="1" s="1"/>
  <c r="F66" i="1"/>
  <c r="F67" i="1" s="1"/>
  <c r="F11" i="1"/>
  <c r="F10" i="1"/>
  <c r="F81" i="1" l="1"/>
  <c r="F9" i="1"/>
  <c r="F13" i="1"/>
  <c r="F15" i="1"/>
  <c r="F32" i="1"/>
  <c r="F51" i="1"/>
  <c r="F50" i="1"/>
  <c r="F42" i="1"/>
  <c r="F48" i="1"/>
  <c r="F41" i="1"/>
  <c r="F82" i="1" l="1"/>
  <c r="F20" i="1"/>
  <c r="F28" i="1"/>
  <c r="F27" i="1"/>
  <c r="F6" i="1"/>
  <c r="F47" i="1"/>
  <c r="F21" i="1"/>
  <c r="F8" i="1" l="1"/>
  <c r="F18" i="1"/>
  <c r="F17" i="1"/>
  <c r="F25" i="1" l="1"/>
  <c r="F40" i="1" l="1"/>
  <c r="F43" i="1" l="1"/>
  <c r="F46" i="1" l="1"/>
  <c r="F30" i="1"/>
  <c r="F29" i="1"/>
  <c r="F26" i="1"/>
  <c r="F24" i="1"/>
  <c r="F23" i="1"/>
  <c r="F22" i="1"/>
  <c r="F36" i="1" l="1"/>
  <c r="F37" i="1" s="1"/>
  <c r="F45" i="1"/>
  <c r="F53" i="1" l="1"/>
  <c r="F54" i="1" s="1"/>
  <c r="F55" i="1" s="1"/>
  <c r="F56" i="1" s="1"/>
  <c r="F58" i="1" l="1"/>
  <c r="F57" i="1"/>
  <c r="H57" i="1" s="1"/>
</calcChain>
</file>

<file path=xl/sharedStrings.xml><?xml version="1.0" encoding="utf-8"?>
<sst xmlns="http://schemas.openxmlformats.org/spreadsheetml/2006/main" count="177" uniqueCount="119">
  <si>
    <t>RL</t>
  </si>
  <si>
    <t>PC</t>
  </si>
  <si>
    <t xml:space="preserve">Size </t>
  </si>
  <si>
    <t xml:space="preserve">QTY </t>
  </si>
  <si>
    <t xml:space="preserve">U/M </t>
  </si>
  <si>
    <t>Price</t>
  </si>
  <si>
    <t xml:space="preserve">Total </t>
  </si>
  <si>
    <t>BX</t>
  </si>
  <si>
    <t xml:space="preserve">TB </t>
  </si>
  <si>
    <t>2 3/16"</t>
  </si>
  <si>
    <t xml:space="preserve">2 3/16 RS HDG Coils </t>
  </si>
  <si>
    <t xml:space="preserve">Misc Products </t>
  </si>
  <si>
    <t xml:space="preserve">PC </t>
  </si>
  <si>
    <t>Total Cost before Mark Up</t>
  </si>
  <si>
    <t>Material Mark Up</t>
  </si>
  <si>
    <t>Total Material Cost</t>
  </si>
  <si>
    <t>Soc/unemployment</t>
  </si>
  <si>
    <t>Total Labor Cost before mark up</t>
  </si>
  <si>
    <t xml:space="preserve">Labor Mark Up </t>
  </si>
  <si>
    <t xml:space="preserve">Total Sell to Customer Material and Labor </t>
  </si>
  <si>
    <t>Total Labor Cost</t>
  </si>
  <si>
    <t>Moblization/ Field Walks/Admin</t>
  </si>
  <si>
    <t>Black jack</t>
  </si>
  <si>
    <t>White</t>
  </si>
  <si>
    <t>Subtotal</t>
  </si>
  <si>
    <t>Insurance</t>
  </si>
  <si>
    <t>Hardie Blade</t>
  </si>
  <si>
    <t>blade</t>
  </si>
  <si>
    <t>BL</t>
  </si>
  <si>
    <t>Finish Nails</t>
  </si>
  <si>
    <t>2-1/2"</t>
  </si>
  <si>
    <t>Sub Payout</t>
  </si>
  <si>
    <t>Profit</t>
  </si>
  <si>
    <t>Total Labor</t>
  </si>
  <si>
    <t xml:space="preserve">Total Squares </t>
  </si>
  <si>
    <t xml:space="preserve">SQ </t>
  </si>
  <si>
    <t xml:space="preserve">A-11 Staples </t>
  </si>
  <si>
    <t>A-11</t>
  </si>
  <si>
    <t>9" x 300'</t>
  </si>
  <si>
    <t xml:space="preserve">Sheetmetal Flashing and Trims </t>
  </si>
  <si>
    <t xml:space="preserve">1-1/8" </t>
  </si>
  <si>
    <t>4 / 4" x 3" x 12'</t>
  </si>
  <si>
    <t>5 / 4" x 4" x 12'</t>
  </si>
  <si>
    <t xml:space="preserve">Vendor Pricing good for 90 days </t>
  </si>
  <si>
    <t>8.25"</t>
  </si>
  <si>
    <t xml:space="preserve">    </t>
  </si>
  <si>
    <t>Bmastic</t>
  </si>
  <si>
    <t xml:space="preserve">                                                                                                                                                                </t>
  </si>
  <si>
    <t xml:space="preserve">Cedar light blocks </t>
  </si>
  <si>
    <t xml:space="preserve">Cedar </t>
  </si>
  <si>
    <t xml:space="preserve">Hose bib blocks </t>
  </si>
  <si>
    <t>6" x 75'</t>
  </si>
  <si>
    <t xml:space="preserve">6" SO </t>
  </si>
  <si>
    <t>Keith Ragasa Takeoff</t>
  </si>
  <si>
    <t xml:space="preserve">Jumbo Tex 60 min paper </t>
  </si>
  <si>
    <t xml:space="preserve">2.25 SQ per RL  </t>
  </si>
  <si>
    <t xml:space="preserve">Fortiflash-Around windows / Doors </t>
  </si>
  <si>
    <t xml:space="preserve">TX1 Caulking </t>
  </si>
  <si>
    <t xml:space="preserve">Labor Cost - Demo </t>
  </si>
  <si>
    <t xml:space="preserve">Labor Cost - Clean up </t>
  </si>
  <si>
    <t xml:space="preserve">Labor Cost - Hardie Cedarmill lap siding 8.25" </t>
  </si>
  <si>
    <t xml:space="preserve">Labor Cost - WRB </t>
  </si>
  <si>
    <t xml:space="preserve">L&amp;I 2 guys 2 weeks </t>
  </si>
  <si>
    <t xml:space="preserve">Labor Cost - Rot Repair / Siding Prep </t>
  </si>
  <si>
    <t>Rental Services</t>
  </si>
  <si>
    <t>Per</t>
  </si>
  <si>
    <t>LOUVERED</t>
  </si>
  <si>
    <t>Cedar Foundation Vent Raw Non-Primed</t>
  </si>
  <si>
    <t xml:space="preserve">1-1/2" </t>
  </si>
  <si>
    <t xml:space="preserve">Whitewood Trim </t>
  </si>
  <si>
    <t xml:space="preserve">LF </t>
  </si>
  <si>
    <t xml:space="preserve">Custom Gable Vents </t>
  </si>
  <si>
    <t xml:space="preserve">12" x 24" </t>
  </si>
  <si>
    <t>Dumpster Rental Fee - DTG Recycle (1 month)</t>
  </si>
  <si>
    <t>Porta Potty Rental Fee - DTG Recylce (1 month)</t>
  </si>
  <si>
    <t xml:space="preserve">Moistop non stick </t>
  </si>
  <si>
    <t>*****Alternates*****</t>
  </si>
  <si>
    <t>Belly Band Cost</t>
  </si>
  <si>
    <t>Belly Band Flashing</t>
  </si>
  <si>
    <t xml:space="preserve">Total Sell To Customer For Material </t>
  </si>
  <si>
    <t xml:space="preserve">Material Mark-up </t>
  </si>
  <si>
    <t>Total Cost For Material Before Mark-up</t>
  </si>
  <si>
    <t xml:space="preserve">Soffit Option </t>
  </si>
  <si>
    <t>Hardie Rustic Trim - Soffit Topout</t>
  </si>
  <si>
    <t xml:space="preserve">Total Labor </t>
  </si>
  <si>
    <t xml:space="preserve">Labor Cost- Soffit </t>
  </si>
  <si>
    <t>SQ</t>
  </si>
  <si>
    <t xml:space="preserve">Labor Mark-up </t>
  </si>
  <si>
    <t xml:space="preserve">Total Sell To Customer For Material &amp; Labor </t>
  </si>
  <si>
    <t xml:space="preserve">Total Cost for material </t>
  </si>
  <si>
    <t xml:space="preserve">Total Cost for Labor </t>
  </si>
  <si>
    <t xml:space="preserve">Profit </t>
  </si>
  <si>
    <t>Total Cost of Material before Mark-up</t>
  </si>
  <si>
    <t xml:space="preserve">Color Plus Touch up paint </t>
  </si>
  <si>
    <t xml:space="preserve">Paint </t>
  </si>
  <si>
    <t xml:space="preserve">PER </t>
  </si>
  <si>
    <t>Per Square</t>
  </si>
  <si>
    <t>Hardie Rustic Trims (Colorplus)</t>
  </si>
  <si>
    <t xml:space="preserve">Hardie Cedarmill Lap siding (Colorplus) </t>
  </si>
  <si>
    <t xml:space="preserve">Color Plus  Lap Siding &amp; Trims </t>
  </si>
  <si>
    <t>5 / 4" x 8" x 12'</t>
  </si>
  <si>
    <t>Lansing  Building Products</t>
  </si>
  <si>
    <t xml:space="preserve">Lansing Building Products </t>
  </si>
  <si>
    <t xml:space="preserve">4' x 10' </t>
  </si>
  <si>
    <t>2" x 2" x 16'</t>
  </si>
  <si>
    <t xml:space="preserve">Cedar Blocks Drip Z flashing </t>
  </si>
  <si>
    <t>Window/Door Head Drip Z Flashing</t>
  </si>
  <si>
    <t>Base flashing</t>
  </si>
  <si>
    <t xml:space="preserve">Deck to wall flashing </t>
  </si>
  <si>
    <t>Lansing Building Products</t>
  </si>
  <si>
    <t xml:space="preserve">Hardie Cedarmill Lap Siding * Color Plus*  (With 7" Reveal) Mountain Sage </t>
  </si>
  <si>
    <t xml:space="preserve">Hardie Rustic Trim *Color Plus * - Hip top-out Arctic White </t>
  </si>
  <si>
    <t>Hardie Rustic Trim *Color Plus* - Header, Jambs and Sill. *Arctic White*</t>
  </si>
  <si>
    <t xml:space="preserve">Hardie Rustic Trim *Color Plus* - Outside Corner Arctic white </t>
  </si>
  <si>
    <t xml:space="preserve">Whitewood Trim Primed - Gable Topout </t>
  </si>
  <si>
    <t xml:space="preserve">change to 4/4x3x12-9pc </t>
  </si>
  <si>
    <t xml:space="preserve">Hardie Cedarmill Panel *Color Plus* Arctic white </t>
  </si>
  <si>
    <t>Hardie Rustic Trim *Color Plus* - Belly Band (Arctic White)</t>
  </si>
  <si>
    <t>Hardie Rustic Trim *Color Plus*. - Inside Corner  Arctic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</si>
</sst>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Arial Black"/>
      <family val="2"/>
    </font>
    <font>
      <sz val="11"/>
      <color theme="1"/>
      <name val="Calibri"/>
      <family val="2"/>
      <scheme val="minor"/>
    </font>
    <font>
      <b/>
      <u val="double"/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i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Bookman Old Style"/>
      <family val="1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Bookman Old Style"/>
      <family val="1"/>
    </font>
    <font>
      <sz val="10"/>
      <name val="Calibri"/>
      <family val="2"/>
      <scheme val="minor"/>
    </font>
    <font>
      <b/>
      <sz val="11"/>
      <color theme="1"/>
      <name val="Bookman Old Style"/>
      <family val="1"/>
    </font>
    <font>
      <b/>
      <sz val="10"/>
      <color rgb="FFFF0000"/>
      <name val="Bookman Old Style"/>
      <family val="1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2">
    <xf numFmtId="0" fontId="0" fillId="0" borderId="0" xfId="0"/>
    <xf numFmtId="0" fontId="1" fillId="0" borderId="0" xfId="0" applyFont="1"/>
    <xf numFmtId="0" fontId="1" fillId="2" borderId="0" xfId="0" applyFont="1" applyFill="1"/>
    <xf numFmtId="44" fontId="2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4" fontId="6" fillId="0" borderId="0" xfId="1" applyFont="1"/>
    <xf numFmtId="0" fontId="8" fillId="0" borderId="1" xfId="0" applyFont="1" applyBorder="1"/>
    <xf numFmtId="0" fontId="8" fillId="2" borderId="7" xfId="0" applyFont="1" applyFill="1" applyBorder="1"/>
    <xf numFmtId="0" fontId="6" fillId="0" borderId="4" xfId="0" applyFont="1" applyBorder="1" applyAlignment="1">
      <alignment horizontal="center"/>
    </xf>
    <xf numFmtId="44" fontId="6" fillId="0" borderId="6" xfId="1" applyFont="1" applyBorder="1"/>
    <xf numFmtId="0" fontId="5" fillId="0" borderId="3" xfId="0" applyFont="1" applyBorder="1"/>
    <xf numFmtId="0" fontId="8" fillId="0" borderId="7" xfId="0" applyFont="1" applyBorder="1"/>
    <xf numFmtId="0" fontId="5" fillId="3" borderId="3" xfId="0" applyFont="1" applyFill="1" applyBorder="1"/>
    <xf numFmtId="44" fontId="9" fillId="3" borderId="6" xfId="1" applyFont="1" applyFill="1" applyBorder="1"/>
    <xf numFmtId="0" fontId="8" fillId="0" borderId="9" xfId="0" applyFont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0" borderId="8" xfId="0" applyFont="1" applyBorder="1"/>
    <xf numFmtId="0" fontId="6" fillId="0" borderId="8" xfId="0" applyFont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0" borderId="9" xfId="0" applyFont="1" applyBorder="1"/>
    <xf numFmtId="0" fontId="6" fillId="0" borderId="8" xfId="0" applyFont="1" applyBorder="1"/>
    <xf numFmtId="0" fontId="9" fillId="3" borderId="8" xfId="0" applyFont="1" applyFill="1" applyBorder="1"/>
    <xf numFmtId="44" fontId="8" fillId="0" borderId="5" xfId="1" applyFont="1" applyBorder="1"/>
    <xf numFmtId="44" fontId="8" fillId="0" borderId="9" xfId="1" applyFont="1" applyBorder="1"/>
    <xf numFmtId="44" fontId="6" fillId="0" borderId="8" xfId="1" applyFont="1" applyBorder="1"/>
    <xf numFmtId="10" fontId="6" fillId="0" borderId="8" xfId="2" applyNumberFormat="1" applyFont="1" applyBorder="1"/>
    <xf numFmtId="44" fontId="9" fillId="3" borderId="8" xfId="1" applyFont="1" applyFill="1" applyBorder="1"/>
    <xf numFmtId="44" fontId="8" fillId="0" borderId="8" xfId="1" applyFont="1" applyBorder="1"/>
    <xf numFmtId="0" fontId="8" fillId="0" borderId="8" xfId="0" applyFont="1" applyBorder="1" applyAlignment="1">
      <alignment horizontal="center"/>
    </xf>
    <xf numFmtId="0" fontId="8" fillId="2" borderId="8" xfId="0" applyFont="1" applyFill="1" applyBorder="1"/>
    <xf numFmtId="44" fontId="8" fillId="2" borderId="8" xfId="1" applyFont="1" applyFill="1" applyBorder="1"/>
    <xf numFmtId="44" fontId="8" fillId="0" borderId="6" xfId="1" applyFont="1" applyBorder="1"/>
    <xf numFmtId="0" fontId="5" fillId="0" borderId="8" xfId="0" applyFont="1" applyBorder="1"/>
    <xf numFmtId="0" fontId="7" fillId="5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8" xfId="0" applyFont="1" applyFill="1" applyBorder="1"/>
    <xf numFmtId="44" fontId="8" fillId="5" borderId="8" xfId="1" applyFont="1" applyFill="1" applyBorder="1"/>
    <xf numFmtId="44" fontId="8" fillId="5" borderId="5" xfId="1" applyFont="1" applyFill="1" applyBorder="1"/>
    <xf numFmtId="0" fontId="8" fillId="5" borderId="2" xfId="0" applyFont="1" applyFill="1" applyBorder="1" applyAlignment="1">
      <alignment horizontal="center"/>
    </xf>
    <xf numFmtId="0" fontId="8" fillId="5" borderId="9" xfId="0" applyFont="1" applyFill="1" applyBorder="1"/>
    <xf numFmtId="44" fontId="8" fillId="5" borderId="9" xfId="1" applyFont="1" applyFill="1" applyBorder="1"/>
    <xf numFmtId="0" fontId="7" fillId="5" borderId="8" xfId="0" applyFont="1" applyFill="1" applyBorder="1" applyAlignment="1">
      <alignment horizontal="center"/>
    </xf>
    <xf numFmtId="0" fontId="7" fillId="5" borderId="8" xfId="0" applyFont="1" applyFill="1" applyBorder="1"/>
    <xf numFmtId="44" fontId="7" fillId="5" borderId="8" xfId="1" applyFont="1" applyFill="1" applyBorder="1"/>
    <xf numFmtId="0" fontId="5" fillId="0" borderId="3" xfId="0" applyFont="1" applyBorder="1" applyAlignment="1">
      <alignment horizontal="center"/>
    </xf>
    <xf numFmtId="0" fontId="5" fillId="7" borderId="3" xfId="0" applyFont="1" applyFill="1" applyBorder="1"/>
    <xf numFmtId="0" fontId="6" fillId="7" borderId="8" xfId="0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0" fontId="6" fillId="7" borderId="8" xfId="0" applyFont="1" applyFill="1" applyBorder="1"/>
    <xf numFmtId="0" fontId="5" fillId="6" borderId="3" xfId="0" applyFont="1" applyFill="1" applyBorder="1"/>
    <xf numFmtId="0" fontId="6" fillId="6" borderId="8" xfId="0" applyFont="1" applyFill="1" applyBorder="1" applyAlignment="1">
      <alignment horizontal="center"/>
    </xf>
    <xf numFmtId="2" fontId="6" fillId="6" borderId="4" xfId="0" applyNumberFormat="1" applyFont="1" applyFill="1" applyBorder="1" applyAlignment="1">
      <alignment horizontal="center"/>
    </xf>
    <xf numFmtId="0" fontId="6" fillId="6" borderId="8" xfId="0" applyFont="1" applyFill="1" applyBorder="1"/>
    <xf numFmtId="0" fontId="10" fillId="0" borderId="0" xfId="0" applyFont="1"/>
    <xf numFmtId="44" fontId="10" fillId="0" borderId="0" xfId="0" applyNumberFormat="1" applyFont="1"/>
    <xf numFmtId="44" fontId="9" fillId="4" borderId="0" xfId="1" applyFont="1" applyFill="1"/>
    <xf numFmtId="0" fontId="2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44" fontId="8" fillId="5" borderId="11" xfId="1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12" xfId="0" applyFont="1" applyBorder="1"/>
    <xf numFmtId="44" fontId="8" fillId="0" borderId="13" xfId="1" applyFont="1" applyBorder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3" xfId="0" applyFont="1" applyBorder="1"/>
    <xf numFmtId="44" fontId="8" fillId="0" borderId="13" xfId="1" applyFont="1" applyFill="1" applyBorder="1"/>
    <xf numFmtId="44" fontId="8" fillId="0" borderId="6" xfId="1" applyFont="1" applyFill="1" applyBorder="1"/>
    <xf numFmtId="0" fontId="8" fillId="0" borderId="10" xfId="0" applyFont="1" applyBorder="1"/>
    <xf numFmtId="44" fontId="8" fillId="0" borderId="10" xfId="1" applyFont="1" applyBorder="1"/>
    <xf numFmtId="0" fontId="14" fillId="0" borderId="0" xfId="0" applyFont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16" fillId="0" borderId="0" xfId="0" applyFont="1"/>
    <xf numFmtId="0" fontId="6" fillId="3" borderId="8" xfId="0" applyFont="1" applyFill="1" applyBorder="1"/>
    <xf numFmtId="0" fontId="6" fillId="3" borderId="8" xfId="0" applyFont="1" applyFill="1" applyBorder="1" applyAlignment="1">
      <alignment horizontal="center"/>
    </xf>
    <xf numFmtId="44" fontId="16" fillId="0" borderId="0" xfId="0" applyNumberFormat="1" applyFont="1"/>
    <xf numFmtId="2" fontId="6" fillId="3" borderId="8" xfId="0" applyNumberFormat="1" applyFont="1" applyFill="1" applyBorder="1" applyAlignment="1">
      <alignment horizontal="center"/>
    </xf>
    <xf numFmtId="0" fontId="0" fillId="0" borderId="11" xfId="0" applyBorder="1"/>
    <xf numFmtId="0" fontId="6" fillId="0" borderId="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44" fontId="0" fillId="0" borderId="12" xfId="1" applyFont="1" applyBorder="1"/>
    <xf numFmtId="44" fontId="0" fillId="0" borderId="18" xfId="1" applyFont="1" applyBorder="1"/>
    <xf numFmtId="0" fontId="0" fillId="0" borderId="6" xfId="0" applyBorder="1"/>
    <xf numFmtId="0" fontId="19" fillId="0" borderId="8" xfId="0" applyFont="1" applyBorder="1"/>
    <xf numFmtId="0" fontId="19" fillId="0" borderId="15" xfId="0" applyFont="1" applyBorder="1"/>
    <xf numFmtId="44" fontId="0" fillId="0" borderId="12" xfId="0" applyNumberFormat="1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9" fillId="8" borderId="8" xfId="0" applyFont="1" applyFill="1" applyBorder="1" applyAlignment="1">
      <alignment horizontal="center"/>
    </xf>
    <xf numFmtId="0" fontId="0" fillId="8" borderId="6" xfId="0" applyFill="1" applyBorder="1"/>
    <xf numFmtId="0" fontId="0" fillId="8" borderId="4" xfId="0" applyFill="1" applyBorder="1"/>
    <xf numFmtId="0" fontId="0" fillId="8" borderId="8" xfId="0" applyFill="1" applyBorder="1"/>
    <xf numFmtId="0" fontId="6" fillId="0" borderId="16" xfId="0" applyFont="1" applyBorder="1" applyAlignment="1">
      <alignment horizontal="center"/>
    </xf>
    <xf numFmtId="44" fontId="6" fillId="0" borderId="11" xfId="1" applyFont="1" applyBorder="1"/>
    <xf numFmtId="0" fontId="6" fillId="5" borderId="4" xfId="0" applyFont="1" applyFill="1" applyBorder="1" applyAlignment="1">
      <alignment horizontal="center"/>
    </xf>
    <xf numFmtId="44" fontId="6" fillId="5" borderId="6" xfId="1" applyFont="1" applyFill="1" applyBorder="1"/>
    <xf numFmtId="0" fontId="6" fillId="5" borderId="8" xfId="0" applyFont="1" applyFill="1" applyBorder="1" applyAlignment="1">
      <alignment horizontal="center"/>
    </xf>
    <xf numFmtId="0" fontId="6" fillId="5" borderId="8" xfId="0" applyFont="1" applyFill="1" applyBorder="1"/>
    <xf numFmtId="44" fontId="6" fillId="5" borderId="8" xfId="1" applyFont="1" applyFill="1" applyBorder="1"/>
    <xf numFmtId="0" fontId="9" fillId="5" borderId="3" xfId="0" applyFont="1" applyFill="1" applyBorder="1" applyAlignment="1">
      <alignment horizontal="center"/>
    </xf>
    <xf numFmtId="9" fontId="6" fillId="0" borderId="8" xfId="1" applyNumberFormat="1" applyFont="1" applyBorder="1"/>
    <xf numFmtId="0" fontId="6" fillId="0" borderId="6" xfId="0" applyFont="1" applyBorder="1"/>
    <xf numFmtId="0" fontId="17" fillId="9" borderId="3" xfId="0" applyFont="1" applyFill="1" applyBorder="1"/>
    <xf numFmtId="0" fontId="18" fillId="9" borderId="8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8" xfId="0" applyFont="1" applyFill="1" applyBorder="1"/>
    <xf numFmtId="44" fontId="18" fillId="9" borderId="8" xfId="1" applyFont="1" applyFill="1" applyBorder="1"/>
    <xf numFmtId="0" fontId="9" fillId="3" borderId="6" xfId="0" applyFont="1" applyFill="1" applyBorder="1"/>
    <xf numFmtId="0" fontId="9" fillId="3" borderId="4" xfId="0" applyFont="1" applyFill="1" applyBorder="1" applyAlignment="1">
      <alignment horizontal="center"/>
    </xf>
    <xf numFmtId="0" fontId="9" fillId="3" borderId="4" xfId="0" applyFont="1" applyFill="1" applyBorder="1"/>
    <xf numFmtId="0" fontId="9" fillId="10" borderId="6" xfId="0" applyFont="1" applyFill="1" applyBorder="1"/>
    <xf numFmtId="0" fontId="9" fillId="10" borderId="16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9" fillId="10" borderId="4" xfId="0" applyFont="1" applyFill="1" applyBorder="1"/>
    <xf numFmtId="0" fontId="9" fillId="0" borderId="1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/>
    <xf numFmtId="0" fontId="9" fillId="0" borderId="6" xfId="0" applyFont="1" applyBorder="1" applyAlignment="1">
      <alignment horizontal="center"/>
    </xf>
    <xf numFmtId="44" fontId="0" fillId="0" borderId="0" xfId="0" applyNumberFormat="1"/>
    <xf numFmtId="0" fontId="0" fillId="11" borderId="0" xfId="0" applyFill="1"/>
    <xf numFmtId="44" fontId="0" fillId="11" borderId="0" xfId="0" applyNumberFormat="1" applyFill="1"/>
    <xf numFmtId="44" fontId="8" fillId="0" borderId="9" xfId="1" applyFont="1" applyFill="1" applyBorder="1"/>
    <xf numFmtId="44" fontId="8" fillId="0" borderId="5" xfId="1" applyFont="1" applyFill="1" applyBorder="1"/>
    <xf numFmtId="0" fontId="20" fillId="0" borderId="0" xfId="0" applyFont="1"/>
    <xf numFmtId="0" fontId="21" fillId="0" borderId="0" xfId="0" applyFont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83"/>
  <sheetViews>
    <sheetView tabSelected="1" topLeftCell="A34" zoomScale="118" zoomScaleNormal="118" workbookViewId="0">
      <selection activeCell="G46" sqref="G46"/>
    </sheetView>
  </sheetViews>
  <sheetFormatPr defaultRowHeight="15" x14ac:dyDescent="0.25"/>
  <cols>
    <col min="1" max="1" width="73.7109375" style="5" customWidth="1"/>
    <col min="2" max="2" width="21.28515625" style="4" customWidth="1"/>
    <col min="3" max="3" width="10.5703125" style="4" customWidth="1"/>
    <col min="4" max="4" width="11.5703125" style="5" customWidth="1"/>
    <col min="5" max="5" width="12.7109375" style="6" customWidth="1"/>
    <col min="6" max="6" width="19" style="6" customWidth="1"/>
    <col min="7" max="7" width="27.42578125" customWidth="1"/>
    <col min="8" max="8" width="25.28515625" customWidth="1"/>
    <col min="9" max="9" width="14.42578125" customWidth="1"/>
  </cols>
  <sheetData>
    <row r="1" spans="1:8" x14ac:dyDescent="0.25">
      <c r="A1" s="139"/>
      <c r="B1" s="139"/>
      <c r="C1" s="139"/>
      <c r="D1" s="139"/>
      <c r="E1" s="139"/>
      <c r="F1" s="139"/>
    </row>
    <row r="2" spans="1:8" ht="15.75" x14ac:dyDescent="0.25">
      <c r="A2" s="140" t="s">
        <v>53</v>
      </c>
      <c r="B2" s="140"/>
      <c r="C2" s="140"/>
      <c r="D2" s="140"/>
      <c r="E2" s="140"/>
      <c r="F2" s="140"/>
    </row>
    <row r="3" spans="1:8" ht="15.75" x14ac:dyDescent="0.3">
      <c r="A3" s="60"/>
      <c r="B3" s="141"/>
      <c r="C3" s="141"/>
      <c r="D3" s="141"/>
      <c r="E3" s="141"/>
      <c r="F3" s="3"/>
      <c r="G3" s="77" t="s">
        <v>43</v>
      </c>
    </row>
    <row r="4" spans="1:8" ht="15.75" thickBot="1" x14ac:dyDescent="0.3">
      <c r="A4" s="129" t="s">
        <v>99</v>
      </c>
    </row>
    <row r="5" spans="1:8" ht="15.75" thickBot="1" x14ac:dyDescent="0.3">
      <c r="A5" s="36" t="s">
        <v>98</v>
      </c>
      <c r="B5" s="45" t="s">
        <v>2</v>
      </c>
      <c r="C5" s="45" t="s">
        <v>3</v>
      </c>
      <c r="D5" s="46" t="s">
        <v>4</v>
      </c>
      <c r="E5" s="47" t="s">
        <v>5</v>
      </c>
      <c r="F5" s="47" t="s">
        <v>6</v>
      </c>
    </row>
    <row r="6" spans="1:8" s="1" customFormat="1" ht="19.5" customHeight="1" thickBot="1" x14ac:dyDescent="0.35">
      <c r="A6" s="72" t="s">
        <v>110</v>
      </c>
      <c r="B6" s="61" t="s">
        <v>44</v>
      </c>
      <c r="C6" s="133">
        <v>230</v>
      </c>
      <c r="D6" s="72" t="s">
        <v>1</v>
      </c>
      <c r="E6" s="30">
        <v>14.43</v>
      </c>
      <c r="F6" s="26">
        <f>C6*E6</f>
        <v>3318.9</v>
      </c>
      <c r="G6" s="74" t="s">
        <v>109</v>
      </c>
    </row>
    <row r="7" spans="1:8" s="1" customFormat="1" ht="19.5" customHeight="1" thickBot="1" x14ac:dyDescent="0.35">
      <c r="A7" s="45" t="s">
        <v>97</v>
      </c>
      <c r="B7" s="37"/>
      <c r="C7" s="37"/>
      <c r="D7" s="39"/>
      <c r="E7" s="62"/>
      <c r="F7" s="41"/>
      <c r="G7" s="67"/>
    </row>
    <row r="8" spans="1:8" s="1" customFormat="1" ht="19.5" customHeight="1" thickBot="1" x14ac:dyDescent="0.35">
      <c r="A8" s="17" t="s">
        <v>111</v>
      </c>
      <c r="B8" s="31" t="s">
        <v>41</v>
      </c>
      <c r="C8" s="31">
        <v>9</v>
      </c>
      <c r="D8" s="17" t="s">
        <v>12</v>
      </c>
      <c r="E8" s="71">
        <v>11.85</v>
      </c>
      <c r="F8" s="25">
        <f>C8*E8</f>
        <v>106.64999999999999</v>
      </c>
      <c r="G8" s="67" t="s">
        <v>109</v>
      </c>
      <c r="H8" s="64"/>
    </row>
    <row r="9" spans="1:8" s="2" customFormat="1" ht="19.5" customHeight="1" thickBot="1" x14ac:dyDescent="0.35">
      <c r="A9" s="8" t="s">
        <v>112</v>
      </c>
      <c r="B9" s="16" t="s">
        <v>42</v>
      </c>
      <c r="C9" s="31">
        <v>46</v>
      </c>
      <c r="D9" s="32" t="s">
        <v>1</v>
      </c>
      <c r="E9" s="33">
        <v>17.96</v>
      </c>
      <c r="F9" s="30">
        <f t="shared" ref="F9" si="0">C9*E9</f>
        <v>826.16000000000008</v>
      </c>
      <c r="G9" s="67" t="s">
        <v>109</v>
      </c>
    </row>
    <row r="10" spans="1:8" s="2" customFormat="1" ht="19.5" customHeight="1" thickBot="1" x14ac:dyDescent="0.35">
      <c r="A10" s="8" t="s">
        <v>113</v>
      </c>
      <c r="B10" s="16" t="s">
        <v>42</v>
      </c>
      <c r="C10" s="31">
        <v>12</v>
      </c>
      <c r="D10" s="32" t="s">
        <v>1</v>
      </c>
      <c r="E10" s="33">
        <v>17.96</v>
      </c>
      <c r="F10" s="30">
        <f t="shared" ref="F10" si="1">C10*E10</f>
        <v>215.52</v>
      </c>
      <c r="G10" s="67" t="s">
        <v>109</v>
      </c>
    </row>
    <row r="11" spans="1:8" s="2" customFormat="1" ht="19.5" customHeight="1" thickBot="1" x14ac:dyDescent="0.35">
      <c r="A11" s="8" t="s">
        <v>118</v>
      </c>
      <c r="B11" s="16" t="s">
        <v>42</v>
      </c>
      <c r="C11" s="31">
        <v>9</v>
      </c>
      <c r="D11" s="32" t="s">
        <v>1</v>
      </c>
      <c r="E11" s="33">
        <v>17.96</v>
      </c>
      <c r="F11" s="30">
        <f t="shared" ref="F11" si="2">C11*E11</f>
        <v>161.64000000000001</v>
      </c>
      <c r="G11" s="67" t="s">
        <v>109</v>
      </c>
    </row>
    <row r="12" spans="1:8" ht="15.75" thickBot="1" x14ac:dyDescent="0.3">
      <c r="A12" s="36" t="s">
        <v>69</v>
      </c>
      <c r="B12" s="45"/>
      <c r="C12" s="45"/>
      <c r="D12" s="46"/>
      <c r="E12" s="47"/>
      <c r="F12" s="47"/>
    </row>
    <row r="13" spans="1:8" s="1" customFormat="1" ht="19.5" customHeight="1" thickBot="1" x14ac:dyDescent="0.35">
      <c r="A13" s="72" t="s">
        <v>114</v>
      </c>
      <c r="B13" s="61" t="s">
        <v>104</v>
      </c>
      <c r="C13" s="61">
        <v>7</v>
      </c>
      <c r="D13" s="72" t="s">
        <v>1</v>
      </c>
      <c r="E13" s="30">
        <v>9.66</v>
      </c>
      <c r="F13" s="26">
        <f>C13*E13</f>
        <v>67.62</v>
      </c>
      <c r="G13" s="74" t="s">
        <v>109</v>
      </c>
      <c r="H13" s="1" t="s">
        <v>115</v>
      </c>
    </row>
    <row r="14" spans="1:8" s="1" customFormat="1" ht="19.5" customHeight="1" thickBot="1" x14ac:dyDescent="0.35">
      <c r="A14" s="36" t="s">
        <v>39</v>
      </c>
      <c r="B14" s="37"/>
      <c r="C14" s="37"/>
      <c r="D14" s="39"/>
      <c r="E14" s="62"/>
      <c r="F14" s="41"/>
      <c r="G14" s="63"/>
      <c r="H14" s="64"/>
    </row>
    <row r="15" spans="1:8" s="1" customFormat="1" ht="19.5" customHeight="1" thickBot="1" x14ac:dyDescent="0.35">
      <c r="A15" s="17" t="s">
        <v>105</v>
      </c>
      <c r="B15" s="31" t="s">
        <v>68</v>
      </c>
      <c r="C15" s="31">
        <v>5</v>
      </c>
      <c r="D15" s="65" t="s">
        <v>12</v>
      </c>
      <c r="E15" s="66">
        <v>4.83</v>
      </c>
      <c r="F15" s="25">
        <f t="shared" ref="F15" si="3">C15*E15</f>
        <v>24.15</v>
      </c>
      <c r="G15" s="67" t="s">
        <v>109</v>
      </c>
      <c r="H15" s="68"/>
    </row>
    <row r="16" spans="1:8" s="1" customFormat="1" ht="19.5" customHeight="1" thickBot="1" x14ac:dyDescent="0.35">
      <c r="A16" s="17" t="s">
        <v>106</v>
      </c>
      <c r="B16" s="31" t="s">
        <v>40</v>
      </c>
      <c r="C16" s="31">
        <v>13</v>
      </c>
      <c r="D16" s="65" t="s">
        <v>12</v>
      </c>
      <c r="E16" s="66">
        <v>4.57</v>
      </c>
      <c r="F16" s="25">
        <f t="shared" ref="F16" si="4">C16*E16</f>
        <v>59.410000000000004</v>
      </c>
      <c r="G16" s="67" t="s">
        <v>109</v>
      </c>
      <c r="H16" s="68"/>
    </row>
    <row r="17" spans="1:8" s="1" customFormat="1" ht="19.5" customHeight="1" thickBot="1" x14ac:dyDescent="0.35">
      <c r="A17" s="69" t="s">
        <v>107</v>
      </c>
      <c r="B17" s="31" t="s">
        <v>52</v>
      </c>
      <c r="C17" s="31">
        <v>18</v>
      </c>
      <c r="D17" s="65" t="s">
        <v>70</v>
      </c>
      <c r="E17" s="70">
        <v>11.38</v>
      </c>
      <c r="F17" s="25">
        <f t="shared" ref="F17:F18" si="5">C17*E17</f>
        <v>204.84</v>
      </c>
      <c r="G17" s="67" t="s">
        <v>109</v>
      </c>
      <c r="H17" s="68"/>
    </row>
    <row r="18" spans="1:8" s="1" customFormat="1" ht="19.5" customHeight="1" thickBot="1" x14ac:dyDescent="0.35">
      <c r="A18" s="69" t="s">
        <v>108</v>
      </c>
      <c r="B18" s="31" t="s">
        <v>52</v>
      </c>
      <c r="C18" s="31">
        <v>5</v>
      </c>
      <c r="D18" s="65" t="s">
        <v>70</v>
      </c>
      <c r="E18" s="71">
        <v>11.38</v>
      </c>
      <c r="F18" s="25">
        <f t="shared" si="5"/>
        <v>56.900000000000006</v>
      </c>
      <c r="G18" s="67" t="s">
        <v>109</v>
      </c>
      <c r="H18" s="68"/>
    </row>
    <row r="19" spans="1:8" s="1" customFormat="1" ht="19.5" customHeight="1" thickBot="1" x14ac:dyDescent="0.35">
      <c r="A19" s="36" t="s">
        <v>11</v>
      </c>
      <c r="B19" s="37"/>
      <c r="C19" s="38"/>
      <c r="D19" s="39"/>
      <c r="E19" s="40"/>
      <c r="F19" s="41"/>
    </row>
    <row r="20" spans="1:8" s="1" customFormat="1" ht="19.5" customHeight="1" thickBot="1" x14ac:dyDescent="0.35">
      <c r="A20" s="7" t="s">
        <v>54</v>
      </c>
      <c r="B20" s="31" t="s">
        <v>55</v>
      </c>
      <c r="C20" s="31">
        <v>8</v>
      </c>
      <c r="D20" s="17" t="s">
        <v>0</v>
      </c>
      <c r="E20" s="30">
        <v>16.22</v>
      </c>
      <c r="F20" s="34">
        <f>C20*E20</f>
        <v>129.76</v>
      </c>
      <c r="G20" s="74" t="s">
        <v>109</v>
      </c>
    </row>
    <row r="21" spans="1:8" s="1" customFormat="1" ht="19.5" customHeight="1" thickBot="1" x14ac:dyDescent="0.35">
      <c r="A21" s="7" t="s">
        <v>56</v>
      </c>
      <c r="B21" s="31" t="s">
        <v>51</v>
      </c>
      <c r="C21" s="134">
        <v>10</v>
      </c>
      <c r="D21" s="17" t="s">
        <v>0</v>
      </c>
      <c r="E21" s="30">
        <v>29.85</v>
      </c>
      <c r="F21" s="25">
        <f t="shared" ref="F21:F33" si="6">C21*E21</f>
        <v>298.5</v>
      </c>
      <c r="G21" s="74" t="s">
        <v>109</v>
      </c>
    </row>
    <row r="22" spans="1:8" s="1" customFormat="1" ht="19.5" customHeight="1" thickBot="1" x14ac:dyDescent="0.35">
      <c r="A22" s="7" t="s">
        <v>57</v>
      </c>
      <c r="B22" s="15" t="s">
        <v>23</v>
      </c>
      <c r="C22" s="135">
        <v>60</v>
      </c>
      <c r="D22" s="22" t="s">
        <v>8</v>
      </c>
      <c r="E22" s="26">
        <v>5.03</v>
      </c>
      <c r="F22" s="25">
        <f t="shared" si="6"/>
        <v>301.8</v>
      </c>
      <c r="G22" s="74" t="s">
        <v>109</v>
      </c>
    </row>
    <row r="23" spans="1:8" s="1" customFormat="1" ht="19.5" customHeight="1" thickBot="1" x14ac:dyDescent="0.35">
      <c r="A23" s="69" t="s">
        <v>10</v>
      </c>
      <c r="B23" s="31" t="s">
        <v>9</v>
      </c>
      <c r="C23" s="136">
        <v>3</v>
      </c>
      <c r="D23" s="22" t="s">
        <v>7</v>
      </c>
      <c r="E23" s="26">
        <v>38.36</v>
      </c>
      <c r="F23" s="25">
        <f t="shared" si="6"/>
        <v>115.08</v>
      </c>
      <c r="G23" s="74" t="s">
        <v>109</v>
      </c>
    </row>
    <row r="24" spans="1:8" s="1" customFormat="1" ht="19.5" customHeight="1" thickBot="1" x14ac:dyDescent="0.35">
      <c r="A24" s="7" t="s">
        <v>75</v>
      </c>
      <c r="B24" s="31" t="s">
        <v>38</v>
      </c>
      <c r="C24" s="135">
        <v>1</v>
      </c>
      <c r="D24" s="22" t="s">
        <v>0</v>
      </c>
      <c r="E24" s="26">
        <v>36.83</v>
      </c>
      <c r="F24" s="25">
        <f t="shared" si="6"/>
        <v>36.83</v>
      </c>
      <c r="G24" s="74" t="s">
        <v>109</v>
      </c>
    </row>
    <row r="25" spans="1:8" s="1" customFormat="1" ht="19.5" customHeight="1" thickBot="1" x14ac:dyDescent="0.35">
      <c r="A25" s="7" t="s">
        <v>36</v>
      </c>
      <c r="B25" s="31" t="s">
        <v>37</v>
      </c>
      <c r="C25" s="134">
        <v>3</v>
      </c>
      <c r="D25" s="17" t="s">
        <v>7</v>
      </c>
      <c r="E25" s="26">
        <v>2.06</v>
      </c>
      <c r="F25" s="25">
        <f t="shared" si="6"/>
        <v>6.18</v>
      </c>
      <c r="G25" s="74" t="s">
        <v>109</v>
      </c>
    </row>
    <row r="26" spans="1:8" s="1" customFormat="1" ht="19.5" customHeight="1" thickBot="1" x14ac:dyDescent="0.35">
      <c r="A26" s="7" t="s">
        <v>26</v>
      </c>
      <c r="B26" s="15" t="s">
        <v>27</v>
      </c>
      <c r="C26" s="135">
        <v>1</v>
      </c>
      <c r="D26" s="22" t="s">
        <v>28</v>
      </c>
      <c r="E26" s="26">
        <v>35.99</v>
      </c>
      <c r="F26" s="25">
        <f t="shared" si="6"/>
        <v>35.99</v>
      </c>
      <c r="G26" s="74" t="s">
        <v>109</v>
      </c>
    </row>
    <row r="27" spans="1:8" s="1" customFormat="1" ht="19.5" customHeight="1" thickBot="1" x14ac:dyDescent="0.35">
      <c r="A27" s="69" t="s">
        <v>48</v>
      </c>
      <c r="B27" s="31" t="s">
        <v>49</v>
      </c>
      <c r="C27" s="135">
        <v>4</v>
      </c>
      <c r="D27" s="22" t="s">
        <v>12</v>
      </c>
      <c r="E27" s="26">
        <v>7.71</v>
      </c>
      <c r="F27" s="25">
        <f t="shared" ref="F27:F28" si="7">C27*E27</f>
        <v>30.84</v>
      </c>
      <c r="G27" s="74" t="s">
        <v>109</v>
      </c>
    </row>
    <row r="28" spans="1:8" s="1" customFormat="1" ht="19.5" customHeight="1" thickBot="1" x14ac:dyDescent="0.35">
      <c r="A28" s="7" t="s">
        <v>50</v>
      </c>
      <c r="B28" s="15" t="s">
        <v>49</v>
      </c>
      <c r="C28" s="137">
        <v>2</v>
      </c>
      <c r="D28" s="72" t="s">
        <v>12</v>
      </c>
      <c r="E28" s="73">
        <v>6.48</v>
      </c>
      <c r="F28" s="25">
        <f t="shared" si="7"/>
        <v>12.96</v>
      </c>
      <c r="G28" s="74" t="s">
        <v>109</v>
      </c>
    </row>
    <row r="29" spans="1:8" s="1" customFormat="1" ht="19.5" customHeight="1" thickBot="1" x14ac:dyDescent="0.35">
      <c r="A29" s="7" t="s">
        <v>29</v>
      </c>
      <c r="B29" s="15" t="s">
        <v>30</v>
      </c>
      <c r="C29" s="138">
        <v>1</v>
      </c>
      <c r="D29" s="17" t="s">
        <v>7</v>
      </c>
      <c r="E29" s="30">
        <v>20</v>
      </c>
      <c r="F29" s="25">
        <f t="shared" si="6"/>
        <v>20</v>
      </c>
      <c r="G29" s="74" t="s">
        <v>109</v>
      </c>
    </row>
    <row r="30" spans="1:8" s="1" customFormat="1" ht="19.5" customHeight="1" thickBot="1" x14ac:dyDescent="0.35">
      <c r="A30" s="12" t="s">
        <v>22</v>
      </c>
      <c r="B30" s="15" t="s">
        <v>46</v>
      </c>
      <c r="C30" s="135">
        <v>1</v>
      </c>
      <c r="D30" s="22" t="s">
        <v>8</v>
      </c>
      <c r="E30" s="26">
        <v>6.42</v>
      </c>
      <c r="F30" s="25">
        <f t="shared" si="6"/>
        <v>6.42</v>
      </c>
      <c r="G30" s="74" t="s">
        <v>109</v>
      </c>
    </row>
    <row r="31" spans="1:8" s="1" customFormat="1" ht="19.5" customHeight="1" thickBot="1" x14ac:dyDescent="0.35">
      <c r="A31" s="12" t="s">
        <v>71</v>
      </c>
      <c r="B31" s="61" t="s">
        <v>72</v>
      </c>
      <c r="C31" s="135">
        <v>2</v>
      </c>
      <c r="D31" s="22" t="s">
        <v>12</v>
      </c>
      <c r="E31" s="26">
        <v>45</v>
      </c>
      <c r="F31" s="25">
        <f t="shared" si="6"/>
        <v>90</v>
      </c>
      <c r="G31" s="74" t="s">
        <v>109</v>
      </c>
    </row>
    <row r="32" spans="1:8" s="1" customFormat="1" ht="19.5" customHeight="1" thickBot="1" x14ac:dyDescent="0.35">
      <c r="A32" s="12" t="s">
        <v>67</v>
      </c>
      <c r="B32" s="61" t="s">
        <v>66</v>
      </c>
      <c r="C32" s="135">
        <v>10</v>
      </c>
      <c r="D32" s="22" t="s">
        <v>12</v>
      </c>
      <c r="E32" s="127">
        <v>7.65</v>
      </c>
      <c r="F32" s="128">
        <f t="shared" si="6"/>
        <v>76.5</v>
      </c>
      <c r="G32" s="74" t="s">
        <v>109</v>
      </c>
    </row>
    <row r="33" spans="1:9" s="1" customFormat="1" ht="19.5" customHeight="1" thickBot="1" x14ac:dyDescent="0.35">
      <c r="A33" s="12" t="s">
        <v>93</v>
      </c>
      <c r="B33" s="61" t="s">
        <v>94</v>
      </c>
      <c r="C33" s="135">
        <v>2</v>
      </c>
      <c r="D33" s="22" t="s">
        <v>95</v>
      </c>
      <c r="E33" s="26">
        <v>30.58</v>
      </c>
      <c r="F33" s="25">
        <f t="shared" si="6"/>
        <v>61.16</v>
      </c>
      <c r="G33" s="74" t="s">
        <v>109</v>
      </c>
    </row>
    <row r="34" spans="1:9" s="1" customFormat="1" ht="19.5" customHeight="1" thickBot="1" x14ac:dyDescent="0.35">
      <c r="A34" s="36"/>
      <c r="B34" s="37"/>
      <c r="C34" s="42"/>
      <c r="D34" s="43"/>
      <c r="E34" s="44"/>
      <c r="F34" s="41"/>
    </row>
    <row r="35" spans="1:9" ht="15.75" thickBot="1" x14ac:dyDescent="0.3">
      <c r="A35" s="11" t="s">
        <v>13</v>
      </c>
      <c r="B35" s="18"/>
      <c r="C35" s="9"/>
      <c r="D35" s="23"/>
      <c r="E35" s="27"/>
      <c r="F35" s="10">
        <f>SUM(F6:F34)</f>
        <v>6263.81</v>
      </c>
    </row>
    <row r="36" spans="1:9" ht="15.75" thickBot="1" x14ac:dyDescent="0.3">
      <c r="A36" s="11" t="s">
        <v>14</v>
      </c>
      <c r="B36" s="18"/>
      <c r="C36" s="9"/>
      <c r="D36" s="23"/>
      <c r="E36" s="28">
        <v>0.3</v>
      </c>
      <c r="F36" s="10">
        <f>F35*E36</f>
        <v>1879.143</v>
      </c>
    </row>
    <row r="37" spans="1:9" ht="15.75" thickBot="1" x14ac:dyDescent="0.3">
      <c r="A37" s="35" t="s">
        <v>15</v>
      </c>
      <c r="B37" s="18"/>
      <c r="C37" s="18"/>
      <c r="D37" s="23"/>
      <c r="E37" s="27"/>
      <c r="F37" s="27">
        <f>F36+F35</f>
        <v>8142.9530000000004</v>
      </c>
    </row>
    <row r="38" spans="1:9" ht="15.75" thickBot="1" x14ac:dyDescent="0.3">
      <c r="A38" s="11"/>
      <c r="B38" s="18"/>
      <c r="C38" s="18"/>
      <c r="D38" s="23"/>
      <c r="E38" s="27"/>
      <c r="F38" s="10"/>
    </row>
    <row r="39" spans="1:9" ht="15.75" thickBot="1" x14ac:dyDescent="0.3">
      <c r="A39" s="48" t="s">
        <v>33</v>
      </c>
      <c r="B39" s="18"/>
      <c r="C39" s="9"/>
      <c r="D39" s="23"/>
      <c r="E39" s="27"/>
      <c r="F39" s="10"/>
      <c r="I39">
        <v>15501</v>
      </c>
    </row>
    <row r="40" spans="1:9" ht="15.75" thickBot="1" x14ac:dyDescent="0.3">
      <c r="A40" s="53" t="s">
        <v>61</v>
      </c>
      <c r="B40" s="54"/>
      <c r="C40" s="55">
        <v>15</v>
      </c>
      <c r="D40" s="56" t="s">
        <v>35</v>
      </c>
      <c r="E40" s="27">
        <v>25</v>
      </c>
      <c r="F40" s="10">
        <f>E40*C40</f>
        <v>375</v>
      </c>
    </row>
    <row r="41" spans="1:9" ht="15.75" thickBot="1" x14ac:dyDescent="0.3">
      <c r="A41" s="53" t="s">
        <v>58</v>
      </c>
      <c r="B41" s="54"/>
      <c r="C41" s="55">
        <v>15</v>
      </c>
      <c r="D41" s="56" t="s">
        <v>35</v>
      </c>
      <c r="E41" s="27">
        <v>80</v>
      </c>
      <c r="F41" s="10">
        <f>E41*C41</f>
        <v>1200</v>
      </c>
    </row>
    <row r="42" spans="1:9" ht="15.75" thickBot="1" x14ac:dyDescent="0.3">
      <c r="A42" s="53" t="s">
        <v>59</v>
      </c>
      <c r="B42" s="54"/>
      <c r="C42" s="55">
        <v>15</v>
      </c>
      <c r="D42" s="56" t="s">
        <v>35</v>
      </c>
      <c r="E42" s="27">
        <v>75</v>
      </c>
      <c r="F42" s="10">
        <f>E42*C42</f>
        <v>1125</v>
      </c>
    </row>
    <row r="43" spans="1:9" ht="15.75" thickBot="1" x14ac:dyDescent="0.3">
      <c r="A43" s="49" t="s">
        <v>60</v>
      </c>
      <c r="B43" s="50"/>
      <c r="C43" s="51">
        <v>15</v>
      </c>
      <c r="D43" s="52" t="s">
        <v>35</v>
      </c>
      <c r="E43" s="27">
        <v>160</v>
      </c>
      <c r="F43" s="10">
        <f>E43*C43</f>
        <v>2400</v>
      </c>
    </row>
    <row r="44" spans="1:9" ht="15.75" thickBot="1" x14ac:dyDescent="0.3">
      <c r="A44" s="13" t="s">
        <v>34</v>
      </c>
      <c r="B44" s="79"/>
      <c r="C44" s="81">
        <f>SUM(C43:C43)</f>
        <v>15</v>
      </c>
      <c r="D44" s="78" t="s">
        <v>35</v>
      </c>
      <c r="E44" s="27"/>
      <c r="F44" s="10">
        <f>SUM(F40:F43)</f>
        <v>5100</v>
      </c>
    </row>
    <row r="45" spans="1:9" ht="15.75" thickBot="1" x14ac:dyDescent="0.3">
      <c r="A45" s="11" t="s">
        <v>16</v>
      </c>
      <c r="B45" s="18"/>
      <c r="C45" s="9"/>
      <c r="D45" s="23"/>
      <c r="E45" s="28">
        <v>0.1265</v>
      </c>
      <c r="F45" s="10">
        <f>F44*E45</f>
        <v>645.15</v>
      </c>
    </row>
    <row r="46" spans="1:9" ht="15.75" thickBot="1" x14ac:dyDescent="0.3">
      <c r="A46" s="11" t="s">
        <v>62</v>
      </c>
      <c r="B46" s="18"/>
      <c r="C46" s="20">
        <v>160</v>
      </c>
      <c r="D46" s="23"/>
      <c r="E46" s="27">
        <v>3.56</v>
      </c>
      <c r="F46" s="27">
        <f>E46*C46</f>
        <v>569.6</v>
      </c>
      <c r="G46" s="58">
        <f>F46+F45+F44-F40-F41-F42</f>
        <v>3614.75</v>
      </c>
      <c r="H46" s="58">
        <f>G46/C44</f>
        <v>240.98333333333332</v>
      </c>
      <c r="I46" s="57" t="s">
        <v>31</v>
      </c>
    </row>
    <row r="47" spans="1:9" ht="15.75" thickBot="1" x14ac:dyDescent="0.3">
      <c r="A47" s="108" t="s">
        <v>63</v>
      </c>
      <c r="B47" s="109"/>
      <c r="C47" s="110">
        <v>16</v>
      </c>
      <c r="D47" s="111"/>
      <c r="E47" s="112">
        <v>75</v>
      </c>
      <c r="F47" s="112">
        <f>E47*C47</f>
        <v>1200</v>
      </c>
      <c r="G47" s="80"/>
      <c r="H47" s="58"/>
      <c r="I47" s="57"/>
    </row>
    <row r="48" spans="1:9" ht="15.75" thickBot="1" x14ac:dyDescent="0.3">
      <c r="A48" s="35" t="s">
        <v>21</v>
      </c>
      <c r="B48" s="83"/>
      <c r="C48" s="18">
        <v>2</v>
      </c>
      <c r="D48" s="75"/>
      <c r="E48" s="27">
        <v>300</v>
      </c>
      <c r="F48" s="27">
        <f>E48*C48</f>
        <v>600</v>
      </c>
    </row>
    <row r="49" spans="1:8" ht="15.75" thickBot="1" x14ac:dyDescent="0.3">
      <c r="A49" s="94" t="s">
        <v>64</v>
      </c>
      <c r="B49" s="95"/>
      <c r="C49" s="95"/>
      <c r="D49" s="96"/>
      <c r="E49" s="97"/>
      <c r="F49" s="97"/>
    </row>
    <row r="50" spans="1:8" ht="15.75" thickBot="1" x14ac:dyDescent="0.3">
      <c r="A50" s="89" t="s">
        <v>73</v>
      </c>
      <c r="B50" s="88"/>
      <c r="C50" s="92">
        <v>1</v>
      </c>
      <c r="D50" s="84" t="s">
        <v>65</v>
      </c>
      <c r="E50" s="86">
        <v>1340</v>
      </c>
      <c r="F50" s="91">
        <f>C50*E50</f>
        <v>1340</v>
      </c>
    </row>
    <row r="51" spans="1:8" ht="15.75" thickBot="1" x14ac:dyDescent="0.3">
      <c r="A51" s="90" t="s">
        <v>74</v>
      </c>
      <c r="B51" s="82"/>
      <c r="C51" s="93">
        <v>1</v>
      </c>
      <c r="D51" s="85" t="s">
        <v>65</v>
      </c>
      <c r="E51" s="87">
        <v>400</v>
      </c>
      <c r="F51" s="91">
        <f>C51*E51</f>
        <v>400</v>
      </c>
    </row>
    <row r="52" spans="1:8" ht="15.75" thickBot="1" x14ac:dyDescent="0.3">
      <c r="A52" s="35" t="s">
        <v>17</v>
      </c>
      <c r="B52" s="18"/>
      <c r="C52" s="20"/>
      <c r="D52" s="76"/>
      <c r="E52" s="27"/>
      <c r="F52" s="27">
        <f>F51+F50+F49+F48+F47+F46+F45+F44</f>
        <v>9854.75</v>
      </c>
    </row>
    <row r="53" spans="1:8" ht="15.75" thickBot="1" x14ac:dyDescent="0.3">
      <c r="A53" s="35" t="s">
        <v>18</v>
      </c>
      <c r="B53" s="18"/>
      <c r="C53" s="20"/>
      <c r="D53" s="23"/>
      <c r="E53" s="28">
        <v>0.3</v>
      </c>
      <c r="F53" s="10">
        <f>F52*E53</f>
        <v>2956.4249999999997</v>
      </c>
    </row>
    <row r="54" spans="1:8" ht="15.75" thickBot="1" x14ac:dyDescent="0.3">
      <c r="A54" s="11" t="s">
        <v>20</v>
      </c>
      <c r="B54" s="18"/>
      <c r="C54" s="20"/>
      <c r="D54" s="23"/>
      <c r="E54" s="27"/>
      <c r="F54" s="10">
        <f>F53+F52</f>
        <v>12811.174999999999</v>
      </c>
    </row>
    <row r="55" spans="1:8" ht="15.75" thickBot="1" x14ac:dyDescent="0.3">
      <c r="A55" s="11" t="s">
        <v>24</v>
      </c>
      <c r="B55" s="18"/>
      <c r="C55" s="20"/>
      <c r="D55" s="23"/>
      <c r="E55" s="27"/>
      <c r="F55" s="10">
        <f>F54+F37</f>
        <v>20954.128000000001</v>
      </c>
      <c r="G55" t="s">
        <v>47</v>
      </c>
    </row>
    <row r="56" spans="1:8" ht="15.75" thickBot="1" x14ac:dyDescent="0.3">
      <c r="A56" s="11" t="s">
        <v>25</v>
      </c>
      <c r="B56" s="18"/>
      <c r="C56" s="20"/>
      <c r="D56" s="23"/>
      <c r="E56" s="27">
        <v>20.32</v>
      </c>
      <c r="F56" s="10">
        <f>F55/1000*E56</f>
        <v>425.78788096</v>
      </c>
    </row>
    <row r="57" spans="1:8" ht="15.75" thickBot="1" x14ac:dyDescent="0.3">
      <c r="A57" s="13" t="s">
        <v>19</v>
      </c>
      <c r="B57" s="19"/>
      <c r="C57" s="21"/>
      <c r="D57" s="24"/>
      <c r="E57" s="29"/>
      <c r="F57" s="14">
        <f>F56+F55</f>
        <v>21379.915880960001</v>
      </c>
      <c r="G57" s="125" t="s">
        <v>96</v>
      </c>
      <c r="H57" s="126">
        <f>F57/C44</f>
        <v>1425.3277253973333</v>
      </c>
    </row>
    <row r="58" spans="1:8" ht="27.75" customHeight="1" x14ac:dyDescent="0.25">
      <c r="E58" s="59" t="s">
        <v>32</v>
      </c>
      <c r="F58" s="59">
        <f>F53+F36</f>
        <v>4835.5679999999993</v>
      </c>
    </row>
    <row r="60" spans="1:8" x14ac:dyDescent="0.25">
      <c r="A60" s="130" t="s">
        <v>76</v>
      </c>
    </row>
    <row r="61" spans="1:8" ht="15.75" thickBot="1" x14ac:dyDescent="0.3">
      <c r="F61" s="6" t="s">
        <v>45</v>
      </c>
    </row>
    <row r="62" spans="1:8" ht="15.75" thickBot="1" x14ac:dyDescent="0.3">
      <c r="A62" s="105" t="s">
        <v>77</v>
      </c>
      <c r="B62" s="102"/>
      <c r="C62" s="100"/>
      <c r="D62" s="103"/>
      <c r="E62" s="104"/>
      <c r="F62" s="101"/>
    </row>
    <row r="63" spans="1:8" s="1" customFormat="1" ht="19.5" customHeight="1" thickBot="1" x14ac:dyDescent="0.35">
      <c r="A63" s="12" t="s">
        <v>117</v>
      </c>
      <c r="B63" s="61" t="s">
        <v>100</v>
      </c>
      <c r="C63" s="132">
        <v>8</v>
      </c>
      <c r="D63" s="17" t="s">
        <v>12</v>
      </c>
      <c r="E63" s="34">
        <v>37.1</v>
      </c>
      <c r="F63" s="26">
        <f>C63*E63</f>
        <v>296.8</v>
      </c>
      <c r="G63" s="74" t="s">
        <v>101</v>
      </c>
    </row>
    <row r="64" spans="1:8" s="1" customFormat="1" ht="19.5" customHeight="1" thickBot="1" x14ac:dyDescent="0.35">
      <c r="A64" s="17" t="s">
        <v>78</v>
      </c>
      <c r="B64" s="31" t="s">
        <v>40</v>
      </c>
      <c r="C64" s="131">
        <v>16</v>
      </c>
      <c r="D64" s="65" t="s">
        <v>12</v>
      </c>
      <c r="E64" s="30">
        <v>4.57</v>
      </c>
      <c r="F64" s="25">
        <f t="shared" ref="F64" si="8">C64*E64</f>
        <v>73.12</v>
      </c>
      <c r="G64" s="67" t="s">
        <v>101</v>
      </c>
      <c r="H64" s="68"/>
    </row>
    <row r="65" spans="1:8" ht="18" customHeight="1" thickBot="1" x14ac:dyDescent="0.3">
      <c r="A65" s="23" t="s">
        <v>81</v>
      </c>
      <c r="B65" s="18"/>
      <c r="C65" s="18"/>
      <c r="D65" s="23"/>
      <c r="E65" s="27"/>
      <c r="F65" s="10">
        <f>SUM(F63:F64)</f>
        <v>369.92</v>
      </c>
    </row>
    <row r="66" spans="1:8" ht="18" customHeight="1" thickBot="1" x14ac:dyDescent="0.3">
      <c r="A66" s="23" t="s">
        <v>80</v>
      </c>
      <c r="B66" s="98"/>
      <c r="C66" s="18"/>
      <c r="D66" s="23"/>
      <c r="E66" s="106">
        <v>0.2</v>
      </c>
      <c r="F66" s="99">
        <f>F65*E66</f>
        <v>73.984000000000009</v>
      </c>
    </row>
    <row r="67" spans="1:8" ht="18" customHeight="1" thickBot="1" x14ac:dyDescent="0.3">
      <c r="A67" s="113" t="s">
        <v>79</v>
      </c>
      <c r="B67" s="114"/>
      <c r="C67" s="19"/>
      <c r="D67" s="115"/>
      <c r="E67" s="29"/>
      <c r="F67" s="29">
        <f>F65+F66</f>
        <v>443.904</v>
      </c>
    </row>
    <row r="69" spans="1:8" ht="15.75" thickBot="1" x14ac:dyDescent="0.3"/>
    <row r="70" spans="1:8" ht="15.75" thickBot="1" x14ac:dyDescent="0.3">
      <c r="A70" s="105" t="s">
        <v>82</v>
      </c>
      <c r="B70" s="102"/>
      <c r="C70" s="100"/>
      <c r="D70" s="103"/>
      <c r="E70" s="104"/>
      <c r="F70" s="101"/>
    </row>
    <row r="71" spans="1:8" s="1" customFormat="1" ht="19.5" customHeight="1" thickBot="1" x14ac:dyDescent="0.35">
      <c r="A71" s="12" t="s">
        <v>116</v>
      </c>
      <c r="B71" s="61" t="s">
        <v>103</v>
      </c>
      <c r="C71" s="132">
        <v>9</v>
      </c>
      <c r="D71" s="17" t="s">
        <v>12</v>
      </c>
      <c r="E71" s="34">
        <v>81.13</v>
      </c>
      <c r="F71" s="26">
        <f>C71*E71</f>
        <v>730.17</v>
      </c>
      <c r="G71" s="74" t="s">
        <v>102</v>
      </c>
    </row>
    <row r="72" spans="1:8" s="1" customFormat="1" ht="19.5" customHeight="1" thickBot="1" x14ac:dyDescent="0.35">
      <c r="A72" s="17" t="s">
        <v>83</v>
      </c>
      <c r="B72" s="31" t="s">
        <v>41</v>
      </c>
      <c r="C72" s="131">
        <v>20</v>
      </c>
      <c r="D72" s="65" t="s">
        <v>12</v>
      </c>
      <c r="E72" s="30">
        <v>11.85</v>
      </c>
      <c r="F72" s="25">
        <f t="shared" ref="F72" si="9">C72*E72</f>
        <v>237</v>
      </c>
      <c r="G72" s="74" t="s">
        <v>102</v>
      </c>
      <c r="H72" s="68"/>
    </row>
    <row r="73" spans="1:8" ht="18" customHeight="1" thickBot="1" x14ac:dyDescent="0.3">
      <c r="A73" s="23" t="s">
        <v>81</v>
      </c>
      <c r="B73" s="18"/>
      <c r="C73" s="18"/>
      <c r="D73" s="23"/>
      <c r="E73" s="27"/>
      <c r="F73" s="10">
        <f>SUM(F71:F72)</f>
        <v>967.17</v>
      </c>
    </row>
    <row r="74" spans="1:8" ht="18" customHeight="1" thickBot="1" x14ac:dyDescent="0.3">
      <c r="A74" s="23" t="s">
        <v>80</v>
      </c>
      <c r="B74" s="98"/>
      <c r="C74" s="18"/>
      <c r="D74" s="23"/>
      <c r="E74" s="106">
        <v>0.2</v>
      </c>
      <c r="F74" s="99">
        <f>F73*E74</f>
        <v>193.434</v>
      </c>
    </row>
    <row r="75" spans="1:8" ht="18" customHeight="1" thickBot="1" x14ac:dyDescent="0.3">
      <c r="A75" s="107" t="s">
        <v>89</v>
      </c>
      <c r="B75" s="98"/>
      <c r="C75" s="18"/>
      <c r="D75" s="75"/>
      <c r="E75" s="106"/>
      <c r="F75" s="99">
        <f>SUM(F73:F74)</f>
        <v>1160.604</v>
      </c>
    </row>
    <row r="76" spans="1:8" ht="18" customHeight="1" thickBot="1" x14ac:dyDescent="0.3">
      <c r="A76" s="107"/>
      <c r="B76" s="98"/>
      <c r="C76" s="18"/>
      <c r="D76" s="75"/>
      <c r="E76" s="106"/>
      <c r="F76" s="99"/>
    </row>
    <row r="77" spans="1:8" ht="18" customHeight="1" thickBot="1" x14ac:dyDescent="0.3">
      <c r="A77" s="123" t="s">
        <v>84</v>
      </c>
      <c r="B77" s="98"/>
      <c r="C77" s="18"/>
      <c r="D77" s="75"/>
      <c r="E77" s="106"/>
      <c r="F77" s="99"/>
    </row>
    <row r="78" spans="1:8" ht="18" customHeight="1" thickBot="1" x14ac:dyDescent="0.3">
      <c r="A78" s="116" t="s">
        <v>85</v>
      </c>
      <c r="B78" s="117"/>
      <c r="C78" s="118">
        <v>3.36</v>
      </c>
      <c r="D78" s="119" t="s">
        <v>86</v>
      </c>
      <c r="E78" s="27">
        <v>160</v>
      </c>
      <c r="F78" s="99">
        <f>C78*E78</f>
        <v>537.6</v>
      </c>
      <c r="G78" s="124">
        <f>F79</f>
        <v>537.6</v>
      </c>
      <c r="H78" s="124">
        <f>G78/C78</f>
        <v>160</v>
      </c>
    </row>
    <row r="79" spans="1:8" ht="18" customHeight="1" thickBot="1" x14ac:dyDescent="0.3">
      <c r="A79" s="107" t="s">
        <v>92</v>
      </c>
      <c r="B79" s="120"/>
      <c r="C79" s="121"/>
      <c r="D79" s="122"/>
      <c r="E79" s="106"/>
      <c r="F79" s="99">
        <f>SUM(F78)</f>
        <v>537.6</v>
      </c>
    </row>
    <row r="80" spans="1:8" ht="18" customHeight="1" thickBot="1" x14ac:dyDescent="0.3">
      <c r="A80" s="107" t="s">
        <v>87</v>
      </c>
      <c r="B80" s="98"/>
      <c r="C80" s="18"/>
      <c r="D80" s="75"/>
      <c r="E80" s="106">
        <v>0.2</v>
      </c>
      <c r="F80" s="99">
        <f>F79*E80</f>
        <v>107.52000000000001</v>
      </c>
    </row>
    <row r="81" spans="1:6" ht="18" customHeight="1" thickBot="1" x14ac:dyDescent="0.3">
      <c r="A81" s="107" t="s">
        <v>90</v>
      </c>
      <c r="B81" s="98"/>
      <c r="C81" s="18"/>
      <c r="D81" s="75"/>
      <c r="E81" s="106"/>
      <c r="F81" s="99">
        <f>SUM(F79:F80)</f>
        <v>645.12</v>
      </c>
    </row>
    <row r="82" spans="1:6" ht="18" customHeight="1" thickBot="1" x14ac:dyDescent="0.3">
      <c r="A82" s="113" t="s">
        <v>88</v>
      </c>
      <c r="B82" s="114"/>
      <c r="C82" s="19"/>
      <c r="D82" s="115"/>
      <c r="E82" s="29"/>
      <c r="F82" s="29">
        <f>F75+F81</f>
        <v>1805.7240000000002</v>
      </c>
    </row>
    <row r="83" spans="1:6" x14ac:dyDescent="0.25">
      <c r="E83" s="6" t="s">
        <v>91</v>
      </c>
      <c r="F83" s="6">
        <f>F74+F80</f>
        <v>300.95400000000001</v>
      </c>
    </row>
  </sheetData>
  <mergeCells count="3">
    <mergeCell ref="A1:F1"/>
    <mergeCell ref="A2:F2"/>
    <mergeCell ref="B3:E3"/>
  </mergeCells>
  <phoneticPr fontId="15" type="noConversion"/>
  <pageMargins left="0.46" right="0.39" top="0.31" bottom="0.24" header="0.17" footer="0.17"/>
  <pageSetup paperSize="3" scale="75" orientation="landscape" r:id="rId1"/>
  <headerFooter>
    <oddFooter>&amp;L&amp;P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926354-ffce-442a-a6d4-1b4cd30db2fa" xsi:nil="true"/>
    <lcf76f155ced4ddcb4097134ff3c332f xmlns="4418b81a-bf6c-4199-b85c-b5db148a656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761D9F9B8D24692784EF5FA96EFC2" ma:contentTypeVersion="15" ma:contentTypeDescription="Create a new document." ma:contentTypeScope="" ma:versionID="eb0a3e60fb2a2b1f91d19ec2d2f72444">
  <xsd:schema xmlns:xsd="http://www.w3.org/2001/XMLSchema" xmlns:xs="http://www.w3.org/2001/XMLSchema" xmlns:p="http://schemas.microsoft.com/office/2006/metadata/properties" xmlns:ns2="4418b81a-bf6c-4199-b85c-b5db148a6567" xmlns:ns3="c0926354-ffce-442a-a6d4-1b4cd30db2fa" targetNamespace="http://schemas.microsoft.com/office/2006/metadata/properties" ma:root="true" ma:fieldsID="12e3de7987818e9ea6f3a7e452d98b64" ns2:_="" ns3:_="">
    <xsd:import namespace="4418b81a-bf6c-4199-b85c-b5db148a6567"/>
    <xsd:import namespace="c0926354-ffce-442a-a6d4-1b4cd30db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8b81a-bf6c-4199-b85c-b5db148a6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10d05cc-c12a-4bd0-b7f4-6f120094b2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26354-ffce-442a-a6d4-1b4cd30db2f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9c20c8c-2df4-4306-9fd6-1acb643d144e}" ma:internalName="TaxCatchAll" ma:showField="CatchAllData" ma:web="c0926354-ffce-442a-a6d4-1b4cd30db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E9799-1B5A-45B8-BF3A-98340DC9BCA3}">
  <ds:schemaRefs>
    <ds:schemaRef ds:uri="http://schemas.microsoft.com/office/2006/metadata/properties"/>
    <ds:schemaRef ds:uri="http://schemas.microsoft.com/office/infopath/2007/PartnerControls"/>
    <ds:schemaRef ds:uri="c0926354-ffce-442a-a6d4-1b4cd30db2fa"/>
    <ds:schemaRef ds:uri="4418b81a-bf6c-4199-b85c-b5db148a6567"/>
  </ds:schemaRefs>
</ds:datastoreItem>
</file>

<file path=customXml/itemProps2.xml><?xml version="1.0" encoding="utf-8"?>
<ds:datastoreItem xmlns:ds="http://schemas.openxmlformats.org/officeDocument/2006/customXml" ds:itemID="{3152496C-A595-4083-BEFE-E430FD9CD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B4F558-B842-4AC2-9648-9D7234F1C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18b81a-bf6c-4199-b85c-b5db148a6567"/>
    <ds:schemaRef ds:uri="c0926354-ffce-442a-a6d4-1b4cd30db2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Siding </vt:lpstr>
      <vt:lpstr>'Siding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Drafting</dc:creator>
  <cp:lastModifiedBy>Anthony  Hutchinson</cp:lastModifiedBy>
  <cp:lastPrinted>2024-09-06T17:11:12Z</cp:lastPrinted>
  <dcterms:created xsi:type="dcterms:W3CDTF">2010-12-14T17:13:52Z</dcterms:created>
  <dcterms:modified xsi:type="dcterms:W3CDTF">2025-04-10T19:07:44Z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0x0101006B0761D9F9B8D24692784EF5FA96EFC2</vt:lpwstr>
  </property>
  <property fmtid="{D5CDD505-2E9C-101B-9397-08002B2CF9AE}" pid="3" name="MediaServiceImageTags">
    <vt:lpwstr/>
  </property>
</Properties>
</file>